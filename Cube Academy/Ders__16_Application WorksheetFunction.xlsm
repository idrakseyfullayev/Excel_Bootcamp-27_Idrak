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Excel\Cube Academy\"/>
    </mc:Choice>
  </mc:AlternateContent>
  <xr:revisionPtr revIDLastSave="0" documentId="13_ncr:1_{FC059BF7-A742-4B57-A437-B7CD8D93130A}" xr6:coauthVersionLast="45" xr6:coauthVersionMax="45" xr10:uidLastSave="{00000000-0000-0000-0000-000000000000}"/>
  <bookViews>
    <workbookView xWindow="-120" yWindow="-120" windowWidth="20730" windowHeight="11160" xr2:uid="{56A3D1CD-BF7E-4D92-A8FD-B1AAA21AD67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2" i="1"/>
  <c r="N3" i="1"/>
  <c r="N4" i="1"/>
  <c r="N5" i="1"/>
  <c r="N6" i="1"/>
  <c r="N7" i="1"/>
  <c r="N8" i="1"/>
  <c r="N9" i="1"/>
  <c r="N10" i="1"/>
  <c r="N2" i="1"/>
</calcChain>
</file>

<file path=xl/sharedStrings.xml><?xml version="1.0" encoding="utf-8"?>
<sst xmlns="http://schemas.openxmlformats.org/spreadsheetml/2006/main" count="215" uniqueCount="64">
  <si>
    <t>Məhsul kodu</t>
  </si>
  <si>
    <t>Kateqoriya</t>
  </si>
  <si>
    <t>Miqdar</t>
  </si>
  <si>
    <t>Qiymət</t>
  </si>
  <si>
    <t>Total</t>
  </si>
  <si>
    <t>Məbləğ</t>
  </si>
  <si>
    <t>Məhsul adı</t>
  </si>
  <si>
    <t>MH002</t>
  </si>
  <si>
    <t>MH003</t>
  </si>
  <si>
    <t>MH005</t>
  </si>
  <si>
    <t>MH006</t>
  </si>
  <si>
    <t>MH007</t>
  </si>
  <si>
    <t>MH008</t>
  </si>
  <si>
    <t>MH009</t>
  </si>
  <si>
    <t>MH011</t>
  </si>
  <si>
    <t>MH012</t>
  </si>
  <si>
    <t>MH017</t>
  </si>
  <si>
    <t>MH024</t>
  </si>
  <si>
    <t>MH025</t>
  </si>
  <si>
    <t>MH027</t>
  </si>
  <si>
    <t>MH028</t>
  </si>
  <si>
    <t>MH029</t>
  </si>
  <si>
    <t>MH034</t>
  </si>
  <si>
    <t>MH035</t>
  </si>
  <si>
    <t>MH043</t>
  </si>
  <si>
    <t>MH044</t>
  </si>
  <si>
    <t>MH045</t>
  </si>
  <si>
    <t>MH046</t>
  </si>
  <si>
    <t>MH047</t>
  </si>
  <si>
    <t>MH048</t>
  </si>
  <si>
    <t>Kateqoriya2</t>
  </si>
  <si>
    <t>Kateqoriya5</t>
  </si>
  <si>
    <t>Kateqoriya7</t>
  </si>
  <si>
    <t>Kateqoriya1</t>
  </si>
  <si>
    <t>Kateqoriya3</t>
  </si>
  <si>
    <t>Kateqoriya4</t>
  </si>
  <si>
    <t>Kateqoriya6</t>
  </si>
  <si>
    <t>Kateqoriya8</t>
  </si>
  <si>
    <t>Kateqoriya9</t>
  </si>
  <si>
    <t>Məhsul2</t>
  </si>
  <si>
    <t>Məhsul3</t>
  </si>
  <si>
    <t>Məhsul5</t>
  </si>
  <si>
    <t>Məhsul6</t>
  </si>
  <si>
    <t>Məhsul7</t>
  </si>
  <si>
    <t>Məhsul11</t>
  </si>
  <si>
    <t>Məhsul12</t>
  </si>
  <si>
    <t>Məhsul17</t>
  </si>
  <si>
    <t>Məhsul24</t>
  </si>
  <si>
    <t>Məhsul25</t>
  </si>
  <si>
    <t>Məhsul27</t>
  </si>
  <si>
    <t>Məhsul28</t>
  </si>
  <si>
    <t>Məhsul29</t>
  </si>
  <si>
    <t>Məhsul34</t>
  </si>
  <si>
    <t>Məhsul35</t>
  </si>
  <si>
    <t>Məhsul43</t>
  </si>
  <si>
    <t>Məhsul44</t>
  </si>
  <si>
    <t>Məhsul45</t>
  </si>
  <si>
    <t>Məhsul46</t>
  </si>
  <si>
    <t>Məhsul47</t>
  </si>
  <si>
    <t>Məhsul48</t>
  </si>
  <si>
    <t>Məhsul8</t>
  </si>
  <si>
    <t>Məhsul9</t>
  </si>
  <si>
    <t>SUMIFS</t>
  </si>
  <si>
    <t>SUMIF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</si>
</sst>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</xdr:row>
          <xdr:rowOff>66675</xdr:rowOff>
        </xdr:from>
        <xdr:to>
          <xdr:col>8</xdr:col>
          <xdr:colOff>371475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14FBA42-C434-45FF-A067-65C311C15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VLOOKUP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1</xdr:row>
          <xdr:rowOff>28575</xdr:rowOff>
        </xdr:from>
        <xdr:to>
          <xdr:col>16</xdr:col>
          <xdr:colOff>142875</xdr:colOff>
          <xdr:row>3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9CE692C-DB5C-463D-82AA-1E93EF4E4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SUMIF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872FA-76E7-4354-A6D2-57F3F6D183A9}">
  <sheetPr codeName="Sheet1"/>
  <dimension ref="A1:N50"/>
  <sheetViews>
    <sheetView tabSelected="1" workbookViewId="0">
      <selection activeCell="L17" sqref="L17"/>
    </sheetView>
  </sheetViews>
  <sheetFormatPr defaultRowHeight="15" x14ac:dyDescent="0.25"/>
  <cols>
    <col min="1" max="1" width="12.85546875" style="2" customWidth="1"/>
    <col min="2" max="2" width="12.7109375" style="2" customWidth="1"/>
    <col min="3" max="3" width="12.42578125" style="2" customWidth="1"/>
    <col min="4" max="6" width="10.140625" style="2" customWidth="1"/>
    <col min="10" max="10" width="11.42578125" customWidth="1"/>
    <col min="11" max="12" width="13" customWidth="1"/>
  </cols>
  <sheetData>
    <row r="1" spans="1:14" x14ac:dyDescent="0.25">
      <c r="A1" s="3" t="s">
        <v>0</v>
      </c>
      <c r="B1" s="3" t="s">
        <v>1</v>
      </c>
      <c r="C1" s="3" t="s">
        <v>6</v>
      </c>
      <c r="D1" s="3" t="s">
        <v>2</v>
      </c>
      <c r="E1" s="3" t="s">
        <v>3</v>
      </c>
      <c r="F1" s="3" t="s">
        <v>5</v>
      </c>
      <c r="K1" s="3" t="s">
        <v>1</v>
      </c>
      <c r="L1" s="3" t="s">
        <v>4</v>
      </c>
      <c r="M1" s="2" t="s">
        <v>63</v>
      </c>
      <c r="N1" s="2" t="s">
        <v>62</v>
      </c>
    </row>
    <row r="2" spans="1:14" x14ac:dyDescent="0.25">
      <c r="A2" s="1" t="s">
        <v>7</v>
      </c>
      <c r="B2" s="1" t="s">
        <v>30</v>
      </c>
      <c r="C2" s="1" t="s">
        <v>39</v>
      </c>
      <c r="D2" s="1">
        <v>4</v>
      </c>
      <c r="E2" s="4">
        <v>67</v>
      </c>
      <c r="F2" s="4">
        <v>268</v>
      </c>
      <c r="K2" s="1" t="s">
        <v>33</v>
      </c>
      <c r="L2" s="4">
        <v>3190</v>
      </c>
      <c r="M2" s="2">
        <f>SUMIF(B:B, K2, F:F)</f>
        <v>3190</v>
      </c>
      <c r="N2" s="2">
        <f>SUMIFS(F:F, B:B, K2)</f>
        <v>3190</v>
      </c>
    </row>
    <row r="3" spans="1:14" x14ac:dyDescent="0.25">
      <c r="A3" s="1" t="s">
        <v>7</v>
      </c>
      <c r="B3" s="1" t="s">
        <v>30</v>
      </c>
      <c r="C3" s="1" t="s">
        <v>39</v>
      </c>
      <c r="D3" s="1">
        <v>8</v>
      </c>
      <c r="E3" s="4">
        <v>67</v>
      </c>
      <c r="F3" s="4">
        <v>536</v>
      </c>
      <c r="K3" s="1" t="s">
        <v>30</v>
      </c>
      <c r="L3" s="4">
        <v>4427</v>
      </c>
      <c r="M3" s="2">
        <f>SUMIF(B:B, K3, F:F)</f>
        <v>4427</v>
      </c>
      <c r="N3" s="2">
        <f>SUMIFS(F:F, B:B, K3)</f>
        <v>4427</v>
      </c>
    </row>
    <row r="4" spans="1:14" x14ac:dyDescent="0.25">
      <c r="A4" s="1" t="s">
        <v>7</v>
      </c>
      <c r="B4" s="1" t="s">
        <v>30</v>
      </c>
      <c r="C4" s="1" t="s">
        <v>39</v>
      </c>
      <c r="D4" s="1">
        <v>4</v>
      </c>
      <c r="E4" s="4">
        <v>67</v>
      </c>
      <c r="F4" s="4">
        <v>268</v>
      </c>
      <c r="K4" s="1" t="s">
        <v>34</v>
      </c>
      <c r="L4" s="4">
        <v>1534</v>
      </c>
      <c r="M4" s="2">
        <f>SUMIF(B:B, K4, F:F)</f>
        <v>1534</v>
      </c>
      <c r="N4" s="2">
        <f>SUMIFS(F:F, B:B, K4)</f>
        <v>1534</v>
      </c>
    </row>
    <row r="5" spans="1:14" x14ac:dyDescent="0.25">
      <c r="A5" s="1" t="s">
        <v>8</v>
      </c>
      <c r="B5" s="1" t="s">
        <v>30</v>
      </c>
      <c r="C5" s="1" t="s">
        <v>40</v>
      </c>
      <c r="D5" s="1">
        <v>7</v>
      </c>
      <c r="E5" s="4">
        <v>72</v>
      </c>
      <c r="F5" s="4">
        <v>504</v>
      </c>
      <c r="K5" s="1" t="s">
        <v>35</v>
      </c>
      <c r="L5" s="4">
        <v>1098</v>
      </c>
      <c r="M5" s="2">
        <f>SUMIF(B:B, K5, F:F)</f>
        <v>1098</v>
      </c>
      <c r="N5" s="2">
        <f>SUMIFS(F:F, B:B, K5)</f>
        <v>1098</v>
      </c>
    </row>
    <row r="6" spans="1:14" x14ac:dyDescent="0.25">
      <c r="A6" s="1" t="s">
        <v>9</v>
      </c>
      <c r="B6" s="1" t="s">
        <v>30</v>
      </c>
      <c r="C6" s="1" t="s">
        <v>41</v>
      </c>
      <c r="D6" s="1">
        <v>6</v>
      </c>
      <c r="E6" s="4">
        <v>20</v>
      </c>
      <c r="F6" s="4">
        <v>120</v>
      </c>
      <c r="K6" s="1" t="s">
        <v>31</v>
      </c>
      <c r="L6" s="4">
        <v>80</v>
      </c>
      <c r="M6" s="2">
        <f>SUMIF(B:B, K6, F:F)</f>
        <v>80</v>
      </c>
      <c r="N6" s="2">
        <f>SUMIFS(F:F, B:B, K6)</f>
        <v>80</v>
      </c>
    </row>
    <row r="7" spans="1:14" x14ac:dyDescent="0.25">
      <c r="A7" s="1" t="s">
        <v>9</v>
      </c>
      <c r="B7" s="1" t="s">
        <v>30</v>
      </c>
      <c r="C7" s="1" t="s">
        <v>41</v>
      </c>
      <c r="D7" s="1">
        <v>1</v>
      </c>
      <c r="E7" s="4">
        <v>20</v>
      </c>
      <c r="F7" s="4">
        <v>20</v>
      </c>
      <c r="K7" s="1" t="s">
        <v>36</v>
      </c>
      <c r="L7" s="4">
        <v>1365</v>
      </c>
      <c r="M7" s="2">
        <f>SUMIF(B:B, K7, F:F)</f>
        <v>1365</v>
      </c>
      <c r="N7" s="2">
        <f>SUMIFS(F:F, B:B, K7)</f>
        <v>1365</v>
      </c>
    </row>
    <row r="8" spans="1:14" x14ac:dyDescent="0.25">
      <c r="A8" s="1" t="s">
        <v>10</v>
      </c>
      <c r="B8" s="1" t="s">
        <v>31</v>
      </c>
      <c r="C8" s="1" t="s">
        <v>42</v>
      </c>
      <c r="D8" s="1">
        <v>2</v>
      </c>
      <c r="E8" s="4">
        <v>40</v>
      </c>
      <c r="F8" s="4">
        <v>80</v>
      </c>
      <c r="K8" s="1" t="s">
        <v>32</v>
      </c>
      <c r="L8" s="4">
        <v>136</v>
      </c>
      <c r="M8" s="2">
        <f>SUMIF(B:B, K8, F:F)</f>
        <v>136</v>
      </c>
      <c r="N8" s="2">
        <f>SUMIFS(F:F, B:B, K8)</f>
        <v>136</v>
      </c>
    </row>
    <row r="9" spans="1:14" x14ac:dyDescent="0.25">
      <c r="A9" s="1" t="s">
        <v>11</v>
      </c>
      <c r="B9" s="1" t="s">
        <v>32</v>
      </c>
      <c r="C9" s="1" t="s">
        <v>43</v>
      </c>
      <c r="D9" s="1">
        <v>4</v>
      </c>
      <c r="E9" s="4">
        <v>34</v>
      </c>
      <c r="F9" s="4">
        <v>136</v>
      </c>
      <c r="K9" s="1" t="s">
        <v>37</v>
      </c>
      <c r="L9" s="4">
        <v>1187</v>
      </c>
      <c r="M9" s="2">
        <f>SUMIF(B:B, K9, F:F)</f>
        <v>1187</v>
      </c>
      <c r="N9" s="2">
        <f>SUMIFS(F:F, B:B, K9)</f>
        <v>1187</v>
      </c>
    </row>
    <row r="10" spans="1:14" x14ac:dyDescent="0.25">
      <c r="A10" s="1" t="s">
        <v>12</v>
      </c>
      <c r="B10" s="1" t="s">
        <v>33</v>
      </c>
      <c r="C10" s="1" t="s">
        <v>60</v>
      </c>
      <c r="D10" s="1">
        <v>8</v>
      </c>
      <c r="E10" s="4">
        <v>89</v>
      </c>
      <c r="F10" s="4">
        <v>712</v>
      </c>
      <c r="K10" s="1" t="s">
        <v>38</v>
      </c>
      <c r="L10" s="4">
        <v>3149</v>
      </c>
      <c r="M10" s="2">
        <f>SUMIF(B:B, K10, F:F)</f>
        <v>3149</v>
      </c>
      <c r="N10" s="2">
        <f>SUMIFS(F:F, B:B, K10)</f>
        <v>3149</v>
      </c>
    </row>
    <row r="11" spans="1:14" x14ac:dyDescent="0.25">
      <c r="A11" s="1" t="s">
        <v>13</v>
      </c>
      <c r="B11" s="1" t="s">
        <v>33</v>
      </c>
      <c r="C11" s="1" t="s">
        <v>61</v>
      </c>
      <c r="D11" s="1">
        <v>5</v>
      </c>
      <c r="E11" s="4">
        <v>86</v>
      </c>
      <c r="F11" s="4">
        <v>430</v>
      </c>
    </row>
    <row r="12" spans="1:14" x14ac:dyDescent="0.25">
      <c r="A12" s="1" t="s">
        <v>13</v>
      </c>
      <c r="B12" s="1" t="s">
        <v>33</v>
      </c>
      <c r="C12" s="1" t="s">
        <v>61</v>
      </c>
      <c r="D12" s="1">
        <v>1</v>
      </c>
      <c r="E12" s="4">
        <v>86</v>
      </c>
      <c r="F12" s="4">
        <v>86</v>
      </c>
    </row>
    <row r="13" spans="1:14" x14ac:dyDescent="0.25">
      <c r="A13" s="1" t="s">
        <v>14</v>
      </c>
      <c r="B13" s="1" t="s">
        <v>33</v>
      </c>
      <c r="C13" s="1" t="s">
        <v>44</v>
      </c>
      <c r="D13" s="1">
        <v>10</v>
      </c>
      <c r="E13" s="4">
        <v>65</v>
      </c>
      <c r="F13" s="4">
        <v>650</v>
      </c>
    </row>
    <row r="14" spans="1:14" x14ac:dyDescent="0.25">
      <c r="A14" s="1" t="s">
        <v>15</v>
      </c>
      <c r="B14" s="1" t="s">
        <v>33</v>
      </c>
      <c r="C14" s="1" t="s">
        <v>45</v>
      </c>
      <c r="D14" s="1">
        <v>8</v>
      </c>
      <c r="E14" s="4">
        <v>43</v>
      </c>
      <c r="F14" s="4">
        <v>344</v>
      </c>
    </row>
    <row r="15" spans="1:14" x14ac:dyDescent="0.25">
      <c r="A15" s="1" t="s">
        <v>15</v>
      </c>
      <c r="B15" s="1" t="s">
        <v>33</v>
      </c>
      <c r="C15" s="1" t="s">
        <v>45</v>
      </c>
      <c r="D15" s="1">
        <v>7</v>
      </c>
      <c r="E15" s="4">
        <v>43</v>
      </c>
      <c r="F15" s="4">
        <v>301</v>
      </c>
    </row>
    <row r="16" spans="1:14" x14ac:dyDescent="0.25">
      <c r="A16" s="1" t="s">
        <v>15</v>
      </c>
      <c r="B16" s="1" t="s">
        <v>33</v>
      </c>
      <c r="C16" s="1" t="s">
        <v>45</v>
      </c>
      <c r="D16" s="1">
        <v>3</v>
      </c>
      <c r="E16" s="4">
        <v>43</v>
      </c>
      <c r="F16" s="4">
        <v>129</v>
      </c>
    </row>
    <row r="17" spans="1:6" x14ac:dyDescent="0.25">
      <c r="A17" s="1" t="s">
        <v>15</v>
      </c>
      <c r="B17" s="1" t="s">
        <v>33</v>
      </c>
      <c r="C17" s="1" t="s">
        <v>45</v>
      </c>
      <c r="D17" s="1">
        <v>6</v>
      </c>
      <c r="E17" s="4">
        <v>43</v>
      </c>
      <c r="F17" s="4">
        <v>258</v>
      </c>
    </row>
    <row r="18" spans="1:6" x14ac:dyDescent="0.25">
      <c r="A18" s="1" t="s">
        <v>15</v>
      </c>
      <c r="B18" s="1" t="s">
        <v>33</v>
      </c>
      <c r="C18" s="1" t="s">
        <v>45</v>
      </c>
      <c r="D18" s="1">
        <v>5</v>
      </c>
      <c r="E18" s="4">
        <v>43</v>
      </c>
      <c r="F18" s="4">
        <v>215</v>
      </c>
    </row>
    <row r="19" spans="1:6" x14ac:dyDescent="0.25">
      <c r="A19" s="1" t="s">
        <v>16</v>
      </c>
      <c r="B19" s="1" t="s">
        <v>33</v>
      </c>
      <c r="C19" s="1" t="s">
        <v>46</v>
      </c>
      <c r="D19" s="1">
        <v>1</v>
      </c>
      <c r="E19" s="4">
        <v>65</v>
      </c>
      <c r="F19" s="4">
        <v>65</v>
      </c>
    </row>
    <row r="20" spans="1:6" x14ac:dyDescent="0.25">
      <c r="A20" s="1" t="s">
        <v>16</v>
      </c>
      <c r="B20" s="1" t="s">
        <v>30</v>
      </c>
      <c r="C20" s="1" t="s">
        <v>46</v>
      </c>
      <c r="D20" s="1">
        <v>2</v>
      </c>
      <c r="E20" s="4">
        <v>65</v>
      </c>
      <c r="F20" s="4">
        <v>130</v>
      </c>
    </row>
    <row r="21" spans="1:6" x14ac:dyDescent="0.25">
      <c r="A21" s="1" t="s">
        <v>16</v>
      </c>
      <c r="B21" s="1" t="s">
        <v>30</v>
      </c>
      <c r="C21" s="1" t="s">
        <v>46</v>
      </c>
      <c r="D21" s="1">
        <v>1</v>
      </c>
      <c r="E21" s="4">
        <v>65</v>
      </c>
      <c r="F21" s="4">
        <v>65</v>
      </c>
    </row>
    <row r="22" spans="1:6" x14ac:dyDescent="0.25">
      <c r="A22" s="1" t="s">
        <v>16</v>
      </c>
      <c r="B22" s="1" t="s">
        <v>36</v>
      </c>
      <c r="C22" s="1" t="s">
        <v>46</v>
      </c>
      <c r="D22" s="1">
        <v>6</v>
      </c>
      <c r="E22" s="4">
        <v>65</v>
      </c>
      <c r="F22" s="4">
        <v>390</v>
      </c>
    </row>
    <row r="23" spans="1:6" x14ac:dyDescent="0.25">
      <c r="A23" s="1" t="s">
        <v>16</v>
      </c>
      <c r="B23" s="1" t="s">
        <v>36</v>
      </c>
      <c r="C23" s="1" t="s">
        <v>46</v>
      </c>
      <c r="D23" s="1">
        <v>6</v>
      </c>
      <c r="E23" s="4">
        <v>65</v>
      </c>
      <c r="F23" s="4">
        <v>390</v>
      </c>
    </row>
    <row r="24" spans="1:6" x14ac:dyDescent="0.25">
      <c r="A24" s="1" t="s">
        <v>16</v>
      </c>
      <c r="B24" s="1" t="s">
        <v>36</v>
      </c>
      <c r="C24" s="1" t="s">
        <v>46</v>
      </c>
      <c r="D24" s="1">
        <v>9</v>
      </c>
      <c r="E24" s="4">
        <v>65</v>
      </c>
      <c r="F24" s="4">
        <v>585</v>
      </c>
    </row>
    <row r="25" spans="1:6" x14ac:dyDescent="0.25">
      <c r="A25" s="1" t="s">
        <v>16</v>
      </c>
      <c r="B25" s="1" t="s">
        <v>30</v>
      </c>
      <c r="C25" s="1" t="s">
        <v>46</v>
      </c>
      <c r="D25" s="1">
        <v>9</v>
      </c>
      <c r="E25" s="4">
        <v>65</v>
      </c>
      <c r="F25" s="4">
        <v>585</v>
      </c>
    </row>
    <row r="26" spans="1:6" x14ac:dyDescent="0.25">
      <c r="A26" s="1" t="s">
        <v>17</v>
      </c>
      <c r="B26" s="1" t="s">
        <v>30</v>
      </c>
      <c r="C26" s="1" t="s">
        <v>47</v>
      </c>
      <c r="D26" s="1">
        <v>10</v>
      </c>
      <c r="E26" s="4">
        <v>19</v>
      </c>
      <c r="F26" s="4">
        <v>190</v>
      </c>
    </row>
    <row r="27" spans="1:6" x14ac:dyDescent="0.25">
      <c r="A27" s="1" t="s">
        <v>18</v>
      </c>
      <c r="B27" s="1" t="s">
        <v>30</v>
      </c>
      <c r="C27" s="1" t="s">
        <v>48</v>
      </c>
      <c r="D27" s="1">
        <v>4</v>
      </c>
      <c r="E27" s="4">
        <v>59</v>
      </c>
      <c r="F27" s="4">
        <v>236</v>
      </c>
    </row>
    <row r="28" spans="1:6" x14ac:dyDescent="0.25">
      <c r="A28" s="1" t="s">
        <v>18</v>
      </c>
      <c r="B28" s="1" t="s">
        <v>37</v>
      </c>
      <c r="C28" s="1" t="s">
        <v>48</v>
      </c>
      <c r="D28" s="1">
        <v>6</v>
      </c>
      <c r="E28" s="4">
        <v>59</v>
      </c>
      <c r="F28" s="4">
        <v>354</v>
      </c>
    </row>
    <row r="29" spans="1:6" x14ac:dyDescent="0.25">
      <c r="A29" s="1" t="s">
        <v>19</v>
      </c>
      <c r="B29" s="1" t="s">
        <v>37</v>
      </c>
      <c r="C29" s="1" t="s">
        <v>49</v>
      </c>
      <c r="D29" s="1">
        <v>10</v>
      </c>
      <c r="E29" s="4">
        <v>56</v>
      </c>
      <c r="F29" s="4">
        <v>560</v>
      </c>
    </row>
    <row r="30" spans="1:6" x14ac:dyDescent="0.25">
      <c r="A30" s="1" t="s">
        <v>20</v>
      </c>
      <c r="B30" s="1" t="s">
        <v>37</v>
      </c>
      <c r="C30" s="1" t="s">
        <v>50</v>
      </c>
      <c r="D30" s="1">
        <v>5</v>
      </c>
      <c r="E30" s="4">
        <v>19</v>
      </c>
      <c r="F30" s="4">
        <v>95</v>
      </c>
    </row>
    <row r="31" spans="1:6" x14ac:dyDescent="0.25">
      <c r="A31" s="1" t="s">
        <v>21</v>
      </c>
      <c r="B31" s="1" t="s">
        <v>37</v>
      </c>
      <c r="C31" s="1" t="s">
        <v>51</v>
      </c>
      <c r="D31" s="1">
        <v>2</v>
      </c>
      <c r="E31" s="4">
        <v>89</v>
      </c>
      <c r="F31" s="4">
        <v>178</v>
      </c>
    </row>
    <row r="32" spans="1:6" x14ac:dyDescent="0.25">
      <c r="A32" s="1" t="s">
        <v>21</v>
      </c>
      <c r="B32" s="1" t="s">
        <v>30</v>
      </c>
      <c r="C32" s="1" t="s">
        <v>51</v>
      </c>
      <c r="D32" s="1">
        <v>8</v>
      </c>
      <c r="E32" s="4">
        <v>89</v>
      </c>
      <c r="F32" s="4">
        <v>712</v>
      </c>
    </row>
    <row r="33" spans="1:6" x14ac:dyDescent="0.25">
      <c r="A33" s="1" t="s">
        <v>21</v>
      </c>
      <c r="B33" s="1" t="s">
        <v>38</v>
      </c>
      <c r="C33" s="1" t="s">
        <v>51</v>
      </c>
      <c r="D33" s="1">
        <v>8</v>
      </c>
      <c r="E33" s="4">
        <v>89</v>
      </c>
      <c r="F33" s="4">
        <v>712</v>
      </c>
    </row>
    <row r="34" spans="1:6" x14ac:dyDescent="0.25">
      <c r="A34" s="1" t="s">
        <v>21</v>
      </c>
      <c r="B34" s="1" t="s">
        <v>38</v>
      </c>
      <c r="C34" s="1" t="s">
        <v>51</v>
      </c>
      <c r="D34" s="1">
        <v>8</v>
      </c>
      <c r="E34" s="4">
        <v>89</v>
      </c>
      <c r="F34" s="4">
        <v>712</v>
      </c>
    </row>
    <row r="35" spans="1:6" x14ac:dyDescent="0.25">
      <c r="A35" s="1" t="s">
        <v>21</v>
      </c>
      <c r="B35" s="1" t="s">
        <v>38</v>
      </c>
      <c r="C35" s="1" t="s">
        <v>51</v>
      </c>
      <c r="D35" s="1">
        <v>8</v>
      </c>
      <c r="E35" s="4">
        <v>89</v>
      </c>
      <c r="F35" s="4">
        <v>712</v>
      </c>
    </row>
    <row r="36" spans="1:6" x14ac:dyDescent="0.25">
      <c r="A36" s="1" t="s">
        <v>22</v>
      </c>
      <c r="B36" s="1" t="s">
        <v>38</v>
      </c>
      <c r="C36" s="1" t="s">
        <v>52</v>
      </c>
      <c r="D36" s="1">
        <v>1</v>
      </c>
      <c r="E36" s="4">
        <v>37</v>
      </c>
      <c r="F36" s="4">
        <v>37</v>
      </c>
    </row>
    <row r="37" spans="1:6" x14ac:dyDescent="0.25">
      <c r="A37" s="1" t="s">
        <v>23</v>
      </c>
      <c r="B37" s="1" t="s">
        <v>38</v>
      </c>
      <c r="C37" s="1" t="s">
        <v>53</v>
      </c>
      <c r="D37" s="1">
        <v>9</v>
      </c>
      <c r="E37" s="4">
        <v>61</v>
      </c>
      <c r="F37" s="4">
        <v>549</v>
      </c>
    </row>
    <row r="38" spans="1:6" x14ac:dyDescent="0.25">
      <c r="A38" s="1" t="s">
        <v>23</v>
      </c>
      <c r="B38" s="1" t="s">
        <v>38</v>
      </c>
      <c r="C38" s="1" t="s">
        <v>53</v>
      </c>
      <c r="D38" s="1">
        <v>5</v>
      </c>
      <c r="E38" s="4">
        <v>61</v>
      </c>
      <c r="F38" s="4">
        <v>305</v>
      </c>
    </row>
    <row r="39" spans="1:6" x14ac:dyDescent="0.25">
      <c r="A39" s="1" t="s">
        <v>23</v>
      </c>
      <c r="B39" s="1" t="s">
        <v>38</v>
      </c>
      <c r="C39" s="1" t="s">
        <v>53</v>
      </c>
      <c r="D39" s="1">
        <v>2</v>
      </c>
      <c r="E39" s="4">
        <v>61</v>
      </c>
      <c r="F39" s="4">
        <v>122</v>
      </c>
    </row>
    <row r="40" spans="1:6" x14ac:dyDescent="0.25">
      <c r="A40" s="1" t="s">
        <v>23</v>
      </c>
      <c r="B40" s="1" t="s">
        <v>35</v>
      </c>
      <c r="C40" s="1" t="s">
        <v>53</v>
      </c>
      <c r="D40" s="1">
        <v>7</v>
      </c>
      <c r="E40" s="4">
        <v>61</v>
      </c>
      <c r="F40" s="4">
        <v>427</v>
      </c>
    </row>
    <row r="41" spans="1:6" x14ac:dyDescent="0.25">
      <c r="A41" s="1" t="s">
        <v>23</v>
      </c>
      <c r="B41" s="1" t="s">
        <v>35</v>
      </c>
      <c r="C41" s="1" t="s">
        <v>53</v>
      </c>
      <c r="D41" s="1">
        <v>9</v>
      </c>
      <c r="E41" s="4">
        <v>61</v>
      </c>
      <c r="F41" s="4">
        <v>549</v>
      </c>
    </row>
    <row r="42" spans="1:6" x14ac:dyDescent="0.25">
      <c r="A42" s="1" t="s">
        <v>23</v>
      </c>
      <c r="B42" s="1" t="s">
        <v>35</v>
      </c>
      <c r="C42" s="1" t="s">
        <v>53</v>
      </c>
      <c r="D42" s="1">
        <v>2</v>
      </c>
      <c r="E42" s="4">
        <v>61</v>
      </c>
      <c r="F42" s="4">
        <v>122</v>
      </c>
    </row>
    <row r="43" spans="1:6" x14ac:dyDescent="0.25">
      <c r="A43" s="1" t="s">
        <v>23</v>
      </c>
      <c r="B43" s="1" t="s">
        <v>30</v>
      </c>
      <c r="C43" s="1" t="s">
        <v>53</v>
      </c>
      <c r="D43" s="1">
        <v>3</v>
      </c>
      <c r="E43" s="4">
        <v>61</v>
      </c>
      <c r="F43" s="4">
        <v>183</v>
      </c>
    </row>
    <row r="44" spans="1:6" x14ac:dyDescent="0.25">
      <c r="A44" s="1" t="s">
        <v>23</v>
      </c>
      <c r="B44" s="1" t="s">
        <v>30</v>
      </c>
      <c r="C44" s="1" t="s">
        <v>53</v>
      </c>
      <c r="D44" s="1">
        <v>10</v>
      </c>
      <c r="E44" s="4">
        <v>61</v>
      </c>
      <c r="F44" s="4">
        <v>610</v>
      </c>
    </row>
    <row r="45" spans="1:6" x14ac:dyDescent="0.25">
      <c r="A45" s="1" t="s">
        <v>24</v>
      </c>
      <c r="B45" s="1" t="s">
        <v>34</v>
      </c>
      <c r="C45" s="1" t="s">
        <v>54</v>
      </c>
      <c r="D45" s="1">
        <v>5</v>
      </c>
      <c r="E45" s="4">
        <v>27</v>
      </c>
      <c r="F45" s="4">
        <v>135</v>
      </c>
    </row>
    <row r="46" spans="1:6" x14ac:dyDescent="0.25">
      <c r="A46" s="1" t="s">
        <v>25</v>
      </c>
      <c r="B46" s="1" t="s">
        <v>34</v>
      </c>
      <c r="C46" s="1" t="s">
        <v>55</v>
      </c>
      <c r="D46" s="1">
        <v>6</v>
      </c>
      <c r="E46" s="4">
        <v>80</v>
      </c>
      <c r="F46" s="4">
        <v>480</v>
      </c>
    </row>
    <row r="47" spans="1:6" x14ac:dyDescent="0.25">
      <c r="A47" s="1" t="s">
        <v>26</v>
      </c>
      <c r="B47" s="1" t="s">
        <v>34</v>
      </c>
      <c r="C47" s="1" t="s">
        <v>56</v>
      </c>
      <c r="D47" s="1">
        <v>10</v>
      </c>
      <c r="E47" s="4">
        <v>0</v>
      </c>
      <c r="F47" s="4">
        <v>0</v>
      </c>
    </row>
    <row r="48" spans="1:6" x14ac:dyDescent="0.25">
      <c r="A48" s="1" t="s">
        <v>27</v>
      </c>
      <c r="B48" s="1" t="s">
        <v>34</v>
      </c>
      <c r="C48" s="1" t="s">
        <v>57</v>
      </c>
      <c r="D48" s="1">
        <v>5</v>
      </c>
      <c r="E48" s="4">
        <v>89</v>
      </c>
      <c r="F48" s="4">
        <v>445</v>
      </c>
    </row>
    <row r="49" spans="1:6" x14ac:dyDescent="0.25">
      <c r="A49" s="1" t="s">
        <v>28</v>
      </c>
      <c r="B49" s="1" t="s">
        <v>34</v>
      </c>
      <c r="C49" s="1" t="s">
        <v>58</v>
      </c>
      <c r="D49" s="1">
        <v>3</v>
      </c>
      <c r="E49" s="4">
        <v>88</v>
      </c>
      <c r="F49" s="4">
        <v>264</v>
      </c>
    </row>
    <row r="50" spans="1:6" x14ac:dyDescent="0.25">
      <c r="A50" s="1" t="s">
        <v>29</v>
      </c>
      <c r="B50" s="1" t="s">
        <v>34</v>
      </c>
      <c r="C50" s="1" t="s">
        <v>59</v>
      </c>
      <c r="D50" s="1">
        <v>3</v>
      </c>
      <c r="E50" s="4">
        <v>70</v>
      </c>
      <c r="F50" s="4">
        <v>210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orksheetFunction_Vlookup">
                <anchor moveWithCells="1" sizeWithCells="1">
                  <from>
                    <xdr:col>7</xdr:col>
                    <xdr:colOff>47625</xdr:colOff>
                    <xdr:row>1</xdr:row>
                    <xdr:rowOff>66675</xdr:rowOff>
                  </from>
                  <to>
                    <xdr:col>8</xdr:col>
                    <xdr:colOff>371475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WorksheetFunction_SUMIFS">
                <anchor moveWithCells="1" sizeWithCells="1">
                  <from>
                    <xdr:col>14</xdr:col>
                    <xdr:colOff>476250</xdr:colOff>
                    <xdr:row>1</xdr:row>
                    <xdr:rowOff>28575</xdr:rowOff>
                  </from>
                  <to>
                    <xdr:col>16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C2D5C-F2F6-413D-8B4B-DEB007F25787}">
  <sheetPr codeName="Sheet2"/>
  <dimension ref="A1:C50"/>
  <sheetViews>
    <sheetView workbookViewId="0">
      <selection activeCell="F7" sqref="F7"/>
    </sheetView>
  </sheetViews>
  <sheetFormatPr defaultRowHeight="15" x14ac:dyDescent="0.25"/>
  <cols>
    <col min="1" max="1" width="12.85546875" style="2" customWidth="1"/>
    <col min="2" max="2" width="12.42578125" style="2" customWidth="1"/>
    <col min="3" max="3" width="8.42578125" customWidth="1"/>
  </cols>
  <sheetData>
    <row r="1" spans="1:3" x14ac:dyDescent="0.25">
      <c r="A1" s="3" t="s">
        <v>0</v>
      </c>
      <c r="B1" s="3" t="s">
        <v>6</v>
      </c>
      <c r="C1" s="3" t="s">
        <v>3</v>
      </c>
    </row>
    <row r="2" spans="1:3" x14ac:dyDescent="0.25">
      <c r="A2" s="1" t="s">
        <v>7</v>
      </c>
      <c r="B2" s="1" t="s">
        <v>39</v>
      </c>
      <c r="C2" s="1">
        <v>67</v>
      </c>
    </row>
    <row r="3" spans="1:3" x14ac:dyDescent="0.25">
      <c r="A3" s="1" t="s">
        <v>8</v>
      </c>
      <c r="B3" s="1" t="s">
        <v>40</v>
      </c>
      <c r="C3" s="1">
        <v>72</v>
      </c>
    </row>
    <row r="4" spans="1:3" x14ac:dyDescent="0.25">
      <c r="A4" s="1" t="s">
        <v>9</v>
      </c>
      <c r="B4" s="1" t="s">
        <v>41</v>
      </c>
      <c r="C4" s="1">
        <v>20</v>
      </c>
    </row>
    <row r="5" spans="1:3" x14ac:dyDescent="0.25">
      <c r="A5" s="1" t="s">
        <v>10</v>
      </c>
      <c r="B5" s="1" t="s">
        <v>42</v>
      </c>
      <c r="C5" s="1">
        <v>40</v>
      </c>
    </row>
    <row r="6" spans="1:3" x14ac:dyDescent="0.25">
      <c r="A6" s="1" t="s">
        <v>11</v>
      </c>
      <c r="B6" s="1" t="s">
        <v>43</v>
      </c>
      <c r="C6" s="1">
        <v>34</v>
      </c>
    </row>
    <row r="7" spans="1:3" x14ac:dyDescent="0.25">
      <c r="A7" s="1" t="s">
        <v>12</v>
      </c>
      <c r="B7" s="1" t="s">
        <v>60</v>
      </c>
      <c r="C7" s="1">
        <v>89</v>
      </c>
    </row>
    <row r="8" spans="1:3" x14ac:dyDescent="0.25">
      <c r="A8" s="1" t="s">
        <v>13</v>
      </c>
      <c r="B8" s="1" t="s">
        <v>61</v>
      </c>
      <c r="C8" s="1">
        <v>86</v>
      </c>
    </row>
    <row r="9" spans="1:3" x14ac:dyDescent="0.25">
      <c r="A9" s="1" t="s">
        <v>14</v>
      </c>
      <c r="B9" s="1" t="s">
        <v>44</v>
      </c>
      <c r="C9" s="1">
        <v>65</v>
      </c>
    </row>
    <row r="10" spans="1:3" x14ac:dyDescent="0.25">
      <c r="A10" s="1" t="s">
        <v>15</v>
      </c>
      <c r="B10" s="1" t="s">
        <v>45</v>
      </c>
      <c r="C10" s="1">
        <v>43</v>
      </c>
    </row>
    <row r="11" spans="1:3" x14ac:dyDescent="0.25">
      <c r="A11" s="1" t="s">
        <v>16</v>
      </c>
      <c r="B11" s="1" t="s">
        <v>46</v>
      </c>
      <c r="C11" s="1">
        <v>65</v>
      </c>
    </row>
    <row r="12" spans="1:3" x14ac:dyDescent="0.25">
      <c r="A12" s="1" t="s">
        <v>17</v>
      </c>
      <c r="B12" s="1" t="s">
        <v>47</v>
      </c>
      <c r="C12" s="1">
        <v>19</v>
      </c>
    </row>
    <row r="13" spans="1:3" x14ac:dyDescent="0.25">
      <c r="A13" s="1" t="s">
        <v>18</v>
      </c>
      <c r="B13" s="1" t="s">
        <v>48</v>
      </c>
      <c r="C13" s="1">
        <v>59</v>
      </c>
    </row>
    <row r="14" spans="1:3" x14ac:dyDescent="0.25">
      <c r="A14" s="1" t="s">
        <v>19</v>
      </c>
      <c r="B14" s="1" t="s">
        <v>49</v>
      </c>
      <c r="C14" s="1">
        <v>56</v>
      </c>
    </row>
    <row r="15" spans="1:3" x14ac:dyDescent="0.25">
      <c r="A15" s="1" t="s">
        <v>20</v>
      </c>
      <c r="B15" s="1" t="s">
        <v>50</v>
      </c>
      <c r="C15" s="1">
        <v>19</v>
      </c>
    </row>
    <row r="16" spans="1:3" x14ac:dyDescent="0.25">
      <c r="A16" s="1" t="s">
        <v>21</v>
      </c>
      <c r="B16" s="1" t="s">
        <v>51</v>
      </c>
      <c r="C16" s="1">
        <v>89</v>
      </c>
    </row>
    <row r="17" spans="1:3" x14ac:dyDescent="0.25">
      <c r="A17" s="1" t="s">
        <v>22</v>
      </c>
      <c r="B17" s="1" t="s">
        <v>52</v>
      </c>
      <c r="C17" s="1">
        <v>37</v>
      </c>
    </row>
    <row r="18" spans="1:3" x14ac:dyDescent="0.25">
      <c r="A18" s="1" t="s">
        <v>23</v>
      </c>
      <c r="B18" s="1" t="s">
        <v>53</v>
      </c>
      <c r="C18" s="1">
        <v>61</v>
      </c>
    </row>
    <row r="19" spans="1:3" x14ac:dyDescent="0.25">
      <c r="A19" s="1" t="s">
        <v>24</v>
      </c>
      <c r="B19" s="1" t="s">
        <v>54</v>
      </c>
      <c r="C19" s="1">
        <v>27</v>
      </c>
    </row>
    <row r="20" spans="1:3" x14ac:dyDescent="0.25">
      <c r="A20" s="1" t="s">
        <v>25</v>
      </c>
      <c r="B20" s="1" t="s">
        <v>55</v>
      </c>
      <c r="C20" s="1">
        <v>80</v>
      </c>
    </row>
    <row r="21" spans="1:3" x14ac:dyDescent="0.25">
      <c r="A21" s="1" t="s">
        <v>26</v>
      </c>
      <c r="B21" s="1" t="s">
        <v>56</v>
      </c>
      <c r="C21" s="1">
        <v>0</v>
      </c>
    </row>
    <row r="22" spans="1:3" x14ac:dyDescent="0.25">
      <c r="A22" s="1" t="s">
        <v>27</v>
      </c>
      <c r="B22" s="1" t="s">
        <v>57</v>
      </c>
      <c r="C22" s="1">
        <v>89</v>
      </c>
    </row>
    <row r="23" spans="1:3" x14ac:dyDescent="0.25">
      <c r="A23" s="1" t="s">
        <v>28</v>
      </c>
      <c r="B23" s="1" t="s">
        <v>58</v>
      </c>
      <c r="C23" s="1">
        <v>88</v>
      </c>
    </row>
    <row r="24" spans="1:3" x14ac:dyDescent="0.25">
      <c r="A24" s="1" t="s">
        <v>29</v>
      </c>
      <c r="B24" s="1" t="s">
        <v>59</v>
      </c>
      <c r="C24" s="1">
        <v>70</v>
      </c>
    </row>
    <row r="25" spans="1:3" x14ac:dyDescent="0.25">
      <c r="A25"/>
      <c r="B25"/>
    </row>
    <row r="26" spans="1:3" x14ac:dyDescent="0.25">
      <c r="A26"/>
      <c r="B26"/>
    </row>
    <row r="27" spans="1:3" x14ac:dyDescent="0.25">
      <c r="A27"/>
      <c r="B27"/>
    </row>
    <row r="28" spans="1:3" x14ac:dyDescent="0.25">
      <c r="A28"/>
      <c r="B28"/>
    </row>
    <row r="29" spans="1:3" x14ac:dyDescent="0.25">
      <c r="A29"/>
      <c r="B29"/>
    </row>
    <row r="30" spans="1:3" x14ac:dyDescent="0.25">
      <c r="A30"/>
      <c r="B30"/>
    </row>
    <row r="31" spans="1:3" x14ac:dyDescent="0.25">
      <c r="A31"/>
      <c r="B31"/>
    </row>
    <row r="32" spans="1:3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2025-11-12T20:14:09Z</dcterms:created>
  <dcterms:modified xsi:type="dcterms:W3CDTF">2025-11-13T12:44:07Z</dcterms:modified>
</cp:coreProperties>
</file>